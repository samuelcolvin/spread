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esidential" sheetId="2" state="visible" r:id="rId2"/>
    <sheet name="Commercial" sheetId="3" state="visible" r:id="rId3"/>
    <sheet name="Labor" sheetId="4" state="visible" r:id="rId4"/>
    <sheet name="Equipment" sheetId="5" state="visible" r:id="rId5"/>
    <sheet name="Materials" sheetId="6" state="visible" r:id="rId6"/>
    <sheet name="Overhea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6">
    <font>
      <name val="Calibri"/>
      <family val="2"/>
      <color theme="1"/>
      <sz val="11"/>
      <scheme val="minor"/>
    </font>
    <font>
      <name val="Helvetica Neue"/>
      <b val="1"/>
      <color rgb="00FFFFFF"/>
      <sz val="16"/>
    </font>
    <font>
      <name val="Helvetica Neue"/>
      <i val="1"/>
      <color rgb="0023282F"/>
      <sz val="10"/>
    </font>
    <font>
      <name val="Helvetica Neue"/>
      <b val="1"/>
      <color rgb="00FFFFFF"/>
      <sz val="11"/>
    </font>
    <font>
      <name val="Helvetica Neue"/>
      <color rgb="0023282F"/>
      <sz val="11"/>
    </font>
    <font>
      <name val="Helvetica Neue"/>
      <b val="1"/>
      <color rgb="0023282F"/>
      <sz val="11"/>
    </font>
  </fonts>
  <fills count="9">
    <fill>
      <patternFill/>
    </fill>
    <fill>
      <patternFill patternType="gray125"/>
    </fill>
    <fill>
      <patternFill patternType="solid">
        <fgColor rgb="00202834"/>
      </patternFill>
    </fill>
    <fill>
      <patternFill patternType="solid">
        <fgColor rgb="00FBF1DD"/>
      </patternFill>
    </fill>
    <fill>
      <patternFill patternType="solid">
        <fgColor rgb="003A4757"/>
      </patternFill>
    </fill>
    <fill>
      <patternFill patternType="solid">
        <fgColor rgb="00FFFFFF"/>
      </patternFill>
    </fill>
    <fill>
      <patternFill patternType="solid">
        <fgColor rgb="00F4F1EA"/>
      </patternFill>
    </fill>
    <fill>
      <patternFill patternType="solid">
        <fgColor rgb="00D8D0BE"/>
      </patternFill>
    </fill>
    <fill>
      <patternFill patternType="solid">
        <fgColor rgb="00E8A33D"/>
      </patternFill>
    </fill>
  </fills>
  <borders count="2">
    <border>
      <left/>
      <right/>
      <top/>
      <bottom/>
      <diagonal/>
    </border>
    <border>
      <left style="thin">
        <color rgb="00B9AE97"/>
      </left>
      <right style="thin">
        <color rgb="00B9AE97"/>
      </right>
      <top style="thin">
        <color rgb="00B9AE97"/>
      </top>
      <bottom style="thin">
        <color rgb="00B9AE97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 wrapText="1" indent="1"/>
    </xf>
    <xf numFmtId="0" fontId="0" fillId="3" borderId="0" pivotButton="0" quotePrefix="0" xfId="0"/>
    <xf numFmtId="0" fontId="3" fillId="4" borderId="1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indent="1"/>
    </xf>
    <xf numFmtId="164" fontId="4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 indent="1"/>
    </xf>
    <xf numFmtId="164" fontId="4" fillId="6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 indent="1"/>
    </xf>
    <xf numFmtId="164" fontId="5" fillId="7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 indent="1"/>
    </xf>
    <xf numFmtId="165" fontId="5" fillId="5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left" vertical="center" indent="1"/>
    </xf>
    <xf numFmtId="164" fontId="5" fillId="8" borderId="1" applyAlignment="1" pivotButton="0" quotePrefix="0" xfId="0">
      <alignment horizontal="right" vertical="center"/>
    </xf>
    <xf numFmtId="3" fontId="4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Revenue vs. total costs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'Overview'!A6</f>
            </strRef>
          </tx>
          <spPr>
            <a:ln>
              <a:prstDash val="solid"/>
            </a:ln>
          </spPr>
          <cat>
            <numRef>
              <f>'Overview'!$B$3:$I$3</f>
            </numRef>
          </cat>
          <val>
            <numRef>
              <f>'Overview'!$B$6:$I$6</f>
            </numRef>
          </val>
        </ser>
        <ser>
          <idx val="1"/>
          <order val="1"/>
          <tx>
            <strRef>
              <f>'Overview'!A12</f>
            </strRef>
          </tx>
          <spPr>
            <a:ln>
              <a:prstDash val="solid"/>
            </a:ln>
          </spPr>
          <cat>
            <numRef>
              <f>'Overview'!$B$3:$I$3</f>
            </numRef>
          </cat>
          <val>
            <numRef>
              <f>'Overview'!$B$12:$I$12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20</row>
      <rowOff>0</rowOff>
    </from>
    <ext cx="720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A33D"/>
    <outlinePr summaryBelow="1" summaryRight="1"/>
    <pageSetUpPr/>
  </sheetPr>
  <dimension ref="A1:I1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 ht="34" customHeight="1">
      <c r="A1" s="1" t="inlineStr">
        <is>
          <t>Ironwood Construction Co.  -  Business Plan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42" customHeight="1">
      <c r="A2" s="3" t="inlineStr">
        <is>
          <t>Consolidated quarterly P&amp;L. Every figure is pulled by formula from the detail tabs - flex those and this view follows.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3" ht="22" customHeight="1">
      <c r="A3" s="5" t="inlineStr">
        <is>
          <t>Quarter</t>
        </is>
      </c>
      <c r="B3" s="6" t="inlineStr">
        <is>
          <t>Q1 2026</t>
        </is>
      </c>
      <c r="C3" s="6" t="inlineStr">
        <is>
          <t>Q2 2026</t>
        </is>
      </c>
      <c r="D3" s="6" t="inlineStr">
        <is>
          <t>Q3 2026</t>
        </is>
      </c>
      <c r="E3" s="6" t="inlineStr">
        <is>
          <t>Q4 2026</t>
        </is>
      </c>
      <c r="F3" s="6" t="inlineStr">
        <is>
          <t>Q1 2027</t>
        </is>
      </c>
      <c r="G3" s="6" t="inlineStr">
        <is>
          <t>Q2 2027</t>
        </is>
      </c>
      <c r="H3" s="6" t="inlineStr">
        <is>
          <t>Q3 2027</t>
        </is>
      </c>
      <c r="I3" s="6" t="inlineStr">
        <is>
          <t>Q4 2027</t>
        </is>
      </c>
    </row>
    <row r="4" ht="20" customHeight="1">
      <c r="A4" s="7" t="inlineStr">
        <is>
          <t>Residential revenue</t>
        </is>
      </c>
      <c r="B4" s="8">
        <f>'Residential'!B6</f>
        <v/>
      </c>
      <c r="C4" s="8">
        <f>'Residential'!C6</f>
        <v/>
      </c>
      <c r="D4" s="8">
        <f>'Residential'!D6</f>
        <v/>
      </c>
      <c r="E4" s="8">
        <f>'Residential'!E6</f>
        <v/>
      </c>
      <c r="F4" s="8">
        <f>'Residential'!F6</f>
        <v/>
      </c>
      <c r="G4" s="8">
        <f>'Residential'!G6</f>
        <v/>
      </c>
      <c r="H4" s="8">
        <f>'Residential'!H6</f>
        <v/>
      </c>
      <c r="I4" s="8">
        <f>'Residential'!I6</f>
        <v/>
      </c>
    </row>
    <row r="5" ht="20" customHeight="1">
      <c r="A5" s="9" t="inlineStr">
        <is>
          <t>Commercial revenue</t>
        </is>
      </c>
      <c r="B5" s="10">
        <f>'Commercial'!B10</f>
        <v/>
      </c>
      <c r="C5" s="10">
        <f>'Commercial'!C10</f>
        <v/>
      </c>
      <c r="D5" s="10">
        <f>'Commercial'!D10</f>
        <v/>
      </c>
      <c r="E5" s="10">
        <f>'Commercial'!E10</f>
        <v/>
      </c>
      <c r="F5" s="10">
        <f>'Commercial'!F10</f>
        <v/>
      </c>
      <c r="G5" s="10">
        <f>'Commercial'!G10</f>
        <v/>
      </c>
      <c r="H5" s="10">
        <f>'Commercial'!H10</f>
        <v/>
      </c>
      <c r="I5" s="10">
        <f>'Commercial'!I10</f>
        <v/>
      </c>
    </row>
    <row r="6" ht="20" customHeight="1">
      <c r="A6" s="11" t="inlineStr">
        <is>
          <t>Total revenue</t>
        </is>
      </c>
      <c r="B6" s="12">
        <f>B4+B5</f>
        <v/>
      </c>
      <c r="C6" s="12">
        <f>C4+C5</f>
        <v/>
      </c>
      <c r="D6" s="12">
        <f>D4+D5</f>
        <v/>
      </c>
      <c r="E6" s="12">
        <f>E4+E5</f>
        <v/>
      </c>
      <c r="F6" s="12">
        <f>F4+F5</f>
        <v/>
      </c>
      <c r="G6" s="12">
        <f>G4+G5</f>
        <v/>
      </c>
      <c r="H6" s="12">
        <f>H4+H5</f>
        <v/>
      </c>
      <c r="I6" s="12">
        <f>I4+I5</f>
        <v/>
      </c>
    </row>
    <row r="7" ht="7" customHeight="1"/>
    <row r="8" ht="20" customHeight="1">
      <c r="A8" s="7" t="inlineStr">
        <is>
          <t>Labour</t>
        </is>
      </c>
      <c r="B8" s="8">
        <f>'Labor'!B8</f>
        <v/>
      </c>
      <c r="C8" s="8">
        <f>'Labor'!C8</f>
        <v/>
      </c>
      <c r="D8" s="8">
        <f>'Labor'!D8</f>
        <v/>
      </c>
      <c r="E8" s="8">
        <f>'Labor'!E8</f>
        <v/>
      </c>
      <c r="F8" s="8">
        <f>'Labor'!F8</f>
        <v/>
      </c>
      <c r="G8" s="8">
        <f>'Labor'!G8</f>
        <v/>
      </c>
      <c r="H8" s="8">
        <f>'Labor'!H8</f>
        <v/>
      </c>
      <c r="I8" s="8">
        <f>'Labor'!I8</f>
        <v/>
      </c>
    </row>
    <row r="9" ht="20" customHeight="1">
      <c r="A9" s="9" t="inlineStr">
        <is>
          <t>Equipment</t>
        </is>
      </c>
      <c r="B9" s="10">
        <f>'Equipment'!B7</f>
        <v/>
      </c>
      <c r="C9" s="10">
        <f>'Equipment'!C7</f>
        <v/>
      </c>
      <c r="D9" s="10">
        <f>'Equipment'!D7</f>
        <v/>
      </c>
      <c r="E9" s="10">
        <f>'Equipment'!E7</f>
        <v/>
      </c>
      <c r="F9" s="10">
        <f>'Equipment'!F7</f>
        <v/>
      </c>
      <c r="G9" s="10">
        <f>'Equipment'!G7</f>
        <v/>
      </c>
      <c r="H9" s="10">
        <f>'Equipment'!H7</f>
        <v/>
      </c>
      <c r="I9" s="10">
        <f>'Equipment'!I7</f>
        <v/>
      </c>
    </row>
    <row r="10" ht="20" customHeight="1">
      <c r="A10" s="7" t="inlineStr">
        <is>
          <t>Materials</t>
        </is>
      </c>
      <c r="B10" s="8">
        <f>'Materials'!B8</f>
        <v/>
      </c>
      <c r="C10" s="8">
        <f>'Materials'!C8</f>
        <v/>
      </c>
      <c r="D10" s="8">
        <f>'Materials'!D8</f>
        <v/>
      </c>
      <c r="E10" s="8">
        <f>'Materials'!E8</f>
        <v/>
      </c>
      <c r="F10" s="8">
        <f>'Materials'!F8</f>
        <v/>
      </c>
      <c r="G10" s="8">
        <f>'Materials'!G8</f>
        <v/>
      </c>
      <c r="H10" s="8">
        <f>'Materials'!H8</f>
        <v/>
      </c>
      <c r="I10" s="8">
        <f>'Materials'!I8</f>
        <v/>
      </c>
    </row>
    <row r="11" ht="20" customHeight="1">
      <c r="A11" s="9" t="inlineStr">
        <is>
          <t>Overhead</t>
        </is>
      </c>
      <c r="B11" s="10">
        <f>'Overhead'!B9</f>
        <v/>
      </c>
      <c r="C11" s="10">
        <f>'Overhead'!C9</f>
        <v/>
      </c>
      <c r="D11" s="10">
        <f>'Overhead'!D9</f>
        <v/>
      </c>
      <c r="E11" s="10">
        <f>'Overhead'!E9</f>
        <v/>
      </c>
      <c r="F11" s="10">
        <f>'Overhead'!F9</f>
        <v/>
      </c>
      <c r="G11" s="10">
        <f>'Overhead'!G9</f>
        <v/>
      </c>
      <c r="H11" s="10">
        <f>'Overhead'!H9</f>
        <v/>
      </c>
      <c r="I11" s="10">
        <f>'Overhead'!I9</f>
        <v/>
      </c>
    </row>
    <row r="12" ht="20" customHeight="1">
      <c r="A12" s="11" t="inlineStr">
        <is>
          <t>Total costs</t>
        </is>
      </c>
      <c r="B12" s="12">
        <f>B8+B9+B10+B11</f>
        <v/>
      </c>
      <c r="C12" s="12">
        <f>C8+C9+C10+C11</f>
        <v/>
      </c>
      <c r="D12" s="12">
        <f>D8+D9+D10+D11</f>
        <v/>
      </c>
      <c r="E12" s="12">
        <f>E8+E9+E10+E11</f>
        <v/>
      </c>
      <c r="F12" s="12">
        <f>F8+F9+F10+F11</f>
        <v/>
      </c>
      <c r="G12" s="12">
        <f>G8+G9+G10+G11</f>
        <v/>
      </c>
      <c r="H12" s="12">
        <f>H8+H9+H10+H11</f>
        <v/>
      </c>
      <c r="I12" s="12">
        <f>I8+I9+I10+I11</f>
        <v/>
      </c>
    </row>
    <row r="13" ht="7" customHeight="1"/>
    <row r="14" ht="20" customHeight="1">
      <c r="A14" s="11" t="inlineStr">
        <is>
          <t>Gross profit</t>
        </is>
      </c>
      <c r="B14" s="12">
        <f>B6-B8-B9-B10</f>
        <v/>
      </c>
      <c r="C14" s="12">
        <f>C6-C8-C9-C10</f>
        <v/>
      </c>
      <c r="D14" s="12">
        <f>D6-D8-D9-D10</f>
        <v/>
      </c>
      <c r="E14" s="12">
        <f>E6-E8-E9-E10</f>
        <v/>
      </c>
      <c r="F14" s="12">
        <f>F6-F8-F9-F10</f>
        <v/>
      </c>
      <c r="G14" s="12">
        <f>G6-G8-G9-G10</f>
        <v/>
      </c>
      <c r="H14" s="12">
        <f>H6-H8-H9-H10</f>
        <v/>
      </c>
      <c r="I14" s="12">
        <f>I6-I8-I9-I10</f>
        <v/>
      </c>
    </row>
    <row r="15" ht="20" customHeight="1">
      <c r="A15" s="11" t="inlineStr">
        <is>
          <t>Operating profit</t>
        </is>
      </c>
      <c r="B15" s="12">
        <f>B6-B12</f>
        <v/>
      </c>
      <c r="C15" s="12">
        <f>C6-C12</f>
        <v/>
      </c>
      <c r="D15" s="12">
        <f>D6-D12</f>
        <v/>
      </c>
      <c r="E15" s="12">
        <f>E6-E12</f>
        <v/>
      </c>
      <c r="F15" s="12">
        <f>F6-F12</f>
        <v/>
      </c>
      <c r="G15" s="12">
        <f>G6-G12</f>
        <v/>
      </c>
      <c r="H15" s="12">
        <f>H6-H12</f>
        <v/>
      </c>
      <c r="I15" s="12">
        <f>I6-I12</f>
        <v/>
      </c>
    </row>
    <row r="16" ht="20" customHeight="1">
      <c r="A16" s="13" t="inlineStr">
        <is>
          <t>Operating margin</t>
        </is>
      </c>
      <c r="B16" s="14">
        <f>B15/B6</f>
        <v/>
      </c>
      <c r="C16" s="14">
        <f>C15/C6</f>
        <v/>
      </c>
      <c r="D16" s="14">
        <f>D15/D6</f>
        <v/>
      </c>
      <c r="E16" s="14">
        <f>E15/E6</f>
        <v/>
      </c>
      <c r="F16" s="14">
        <f>F15/F6</f>
        <v/>
      </c>
      <c r="G16" s="14">
        <f>G15/G6</f>
        <v/>
      </c>
      <c r="H16" s="14">
        <f>H15/H6</f>
        <v/>
      </c>
      <c r="I16" s="14">
        <f>I15/I6</f>
        <v/>
      </c>
    </row>
    <row r="17" ht="7" customHeight="1"/>
    <row r="18" ht="20" customHeight="1">
      <c r="A18" s="15" t="inlineStr">
        <is>
          <t>Cash balance</t>
        </is>
      </c>
      <c r="B18" s="16">
        <f>3200000+B15+0</f>
        <v/>
      </c>
      <c r="C18" s="16">
        <f>B18+C15+0</f>
        <v/>
      </c>
      <c r="D18" s="16">
        <f>C18+D15+1500000</f>
        <v/>
      </c>
      <c r="E18" s="16">
        <f>D18+E15+0</f>
        <v/>
      </c>
      <c r="F18" s="16">
        <f>E18+F15+0</f>
        <v/>
      </c>
      <c r="G18" s="16">
        <f>F18+G15+0</f>
        <v/>
      </c>
      <c r="H18" s="16">
        <f>G18+H15+0</f>
        <v/>
      </c>
      <c r="I18" s="16">
        <f>H18+I15+0</f>
        <v/>
      </c>
    </row>
  </sheetData>
  <mergeCells count="2">
    <mergeCell ref="A1:I1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3A4757"/>
    <outlinePr summaryBelow="1" summaryRight="1"/>
    <pageSetUpPr/>
  </sheetPr>
  <dimension ref="A1:I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 ht="34" customHeight="1">
      <c r="A1" s="1" t="inlineStr">
        <is>
          <t>Ironwood Construction Co.  -  Residential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42" customHeight="1">
      <c r="A2" s="3" t="inlineStr">
        <is>
          <t>Single-family homes and townhomes. Revenue is recognised on completion; all figures are per quarter.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3" ht="22" customHeight="1">
      <c r="A3" s="5" t="inlineStr">
        <is>
          <t>Quarter</t>
        </is>
      </c>
      <c r="B3" s="6" t="inlineStr">
        <is>
          <t>Q1 2026</t>
        </is>
      </c>
      <c r="C3" s="6" t="inlineStr">
        <is>
          <t>Q2 2026</t>
        </is>
      </c>
      <c r="D3" s="6" t="inlineStr">
        <is>
          <t>Q3 2026</t>
        </is>
      </c>
      <c r="E3" s="6" t="inlineStr">
        <is>
          <t>Q4 2026</t>
        </is>
      </c>
      <c r="F3" s="6" t="inlineStr">
        <is>
          <t>Q1 2027</t>
        </is>
      </c>
      <c r="G3" s="6" t="inlineStr">
        <is>
          <t>Q2 2027</t>
        </is>
      </c>
      <c r="H3" s="6" t="inlineStr">
        <is>
          <t>Q3 2027</t>
        </is>
      </c>
      <c r="I3" s="6" t="inlineStr">
        <is>
          <t>Q4 2027</t>
        </is>
      </c>
    </row>
    <row r="4" ht="20" customHeight="1">
      <c r="A4" s="7" t="inlineStr">
        <is>
          <t>Homes completed</t>
        </is>
      </c>
      <c r="B4" s="17" t="n">
        <v>8</v>
      </c>
      <c r="C4" s="17" t="n">
        <v>10</v>
      </c>
      <c r="D4" s="17" t="n">
        <v>11</v>
      </c>
      <c r="E4" s="17" t="n">
        <v>13</v>
      </c>
      <c r="F4" s="17" t="n">
        <v>15</v>
      </c>
      <c r="G4" s="17" t="n">
        <v>16</v>
      </c>
      <c r="H4" s="17" t="n">
        <v>18</v>
      </c>
      <c r="I4" s="17" t="n">
        <v>20</v>
      </c>
    </row>
    <row r="5" ht="20" customHeight="1">
      <c r="A5" s="9" t="inlineStr">
        <is>
          <t>Avg contract value</t>
        </is>
      </c>
      <c r="B5" s="10" t="n">
        <v>420000</v>
      </c>
      <c r="C5" s="10" t="n">
        <v>420000</v>
      </c>
      <c r="D5" s="10" t="n">
        <v>435000</v>
      </c>
      <c r="E5" s="10" t="n">
        <v>435000</v>
      </c>
      <c r="F5" s="10" t="n">
        <v>450000</v>
      </c>
      <c r="G5" s="10" t="n">
        <v>450000</v>
      </c>
      <c r="H5" s="10" t="n">
        <v>465000</v>
      </c>
      <c r="I5" s="10" t="n">
        <v>465000</v>
      </c>
    </row>
    <row r="6" ht="20" customHeight="1">
      <c r="A6" s="11" t="inlineStr">
        <is>
          <t>Revenue</t>
        </is>
      </c>
      <c r="B6" s="12">
        <f>B4*B5</f>
        <v/>
      </c>
      <c r="C6" s="12">
        <f>C4*C5</f>
        <v/>
      </c>
      <c r="D6" s="12">
        <f>D4*D5</f>
        <v/>
      </c>
      <c r="E6" s="12">
        <f>E4*E5</f>
        <v/>
      </c>
      <c r="F6" s="12">
        <f>F4*F5</f>
        <v/>
      </c>
      <c r="G6" s="12">
        <f>G4*G5</f>
        <v/>
      </c>
      <c r="H6" s="12">
        <f>H4*H5</f>
        <v/>
      </c>
      <c r="I6" s="12">
        <f>I4*I5</f>
        <v/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A4757"/>
    <outlinePr summaryBelow="1" summaryRight="1"/>
    <pageSetUpPr/>
  </sheetPr>
  <dimension ref="A1:I1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 ht="34" customHeight="1">
      <c r="A1" s="1" t="inlineStr">
        <is>
          <t>Ironwood Construction Co.  -  Commercial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42" customHeight="1">
      <c r="A2" s="3" t="inlineStr">
        <is>
          <t>Commercial contracts across three project classes. Revenue = projects in progress this quarter x average contract value.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3" ht="22" customHeight="1">
      <c r="A3" s="5" t="inlineStr">
        <is>
          <t>Quarter</t>
        </is>
      </c>
      <c r="B3" s="6" t="inlineStr">
        <is>
          <t>Q1 2026</t>
        </is>
      </c>
      <c r="C3" s="6" t="inlineStr">
        <is>
          <t>Q2 2026</t>
        </is>
      </c>
      <c r="D3" s="6" t="inlineStr">
        <is>
          <t>Q3 2026</t>
        </is>
      </c>
      <c r="E3" s="6" t="inlineStr">
        <is>
          <t>Q4 2026</t>
        </is>
      </c>
      <c r="F3" s="6" t="inlineStr">
        <is>
          <t>Q1 2027</t>
        </is>
      </c>
      <c r="G3" s="6" t="inlineStr">
        <is>
          <t>Q2 2027</t>
        </is>
      </c>
      <c r="H3" s="6" t="inlineStr">
        <is>
          <t>Q3 2027</t>
        </is>
      </c>
      <c r="I3" s="6" t="inlineStr">
        <is>
          <t>Q4 2027</t>
        </is>
      </c>
    </row>
    <row r="4" ht="20" customHeight="1">
      <c r="A4" s="7" t="inlineStr">
        <is>
          <t>Retail fit-out projects</t>
        </is>
      </c>
      <c r="B4" s="17" t="n">
        <v>3</v>
      </c>
      <c r="C4" s="17" t="n">
        <v>3</v>
      </c>
      <c r="D4" s="17" t="n">
        <v>4</v>
      </c>
      <c r="E4" s="17" t="n">
        <v>4</v>
      </c>
      <c r="F4" s="17" t="n">
        <v>5</v>
      </c>
      <c r="G4" s="17" t="n">
        <v>5</v>
      </c>
      <c r="H4" s="17" t="n">
        <v>6</v>
      </c>
      <c r="I4" s="17" t="n">
        <v>6</v>
      </c>
    </row>
    <row r="5" ht="20" customHeight="1">
      <c r="A5" s="9" t="inlineStr">
        <is>
          <t>Retail avg value</t>
        </is>
      </c>
      <c r="B5" s="10" t="n">
        <v>280000</v>
      </c>
      <c r="C5" s="10" t="n">
        <v>280000</v>
      </c>
      <c r="D5" s="10" t="n">
        <v>280000</v>
      </c>
      <c r="E5" s="10" t="n">
        <v>280000</v>
      </c>
      <c r="F5" s="10" t="n">
        <v>280000</v>
      </c>
      <c r="G5" s="10" t="n">
        <v>280000</v>
      </c>
      <c r="H5" s="10" t="n">
        <v>280000</v>
      </c>
      <c r="I5" s="10" t="n">
        <v>280000</v>
      </c>
    </row>
    <row r="6" ht="20" customHeight="1">
      <c r="A6" s="7" t="inlineStr">
        <is>
          <t>Office build projects</t>
        </is>
      </c>
      <c r="B6" s="17" t="n">
        <v>1</v>
      </c>
      <c r="C6" s="17" t="n">
        <v>1</v>
      </c>
      <c r="D6" s="17" t="n">
        <v>2</v>
      </c>
      <c r="E6" s="17" t="n">
        <v>2</v>
      </c>
      <c r="F6" s="17" t="n">
        <v>2</v>
      </c>
      <c r="G6" s="17" t="n">
        <v>3</v>
      </c>
      <c r="H6" s="17" t="n">
        <v>3</v>
      </c>
      <c r="I6" s="17" t="n">
        <v>4</v>
      </c>
    </row>
    <row r="7" ht="20" customHeight="1">
      <c r="A7" s="9" t="inlineStr">
        <is>
          <t>Office avg value</t>
        </is>
      </c>
      <c r="B7" s="10" t="n">
        <v>1800000</v>
      </c>
      <c r="C7" s="10" t="n">
        <v>1800000</v>
      </c>
      <c r="D7" s="10" t="n">
        <v>1800000</v>
      </c>
      <c r="E7" s="10" t="n">
        <v>1800000</v>
      </c>
      <c r="F7" s="10" t="n">
        <v>1800000</v>
      </c>
      <c r="G7" s="10" t="n">
        <v>1800000</v>
      </c>
      <c r="H7" s="10" t="n">
        <v>1800000</v>
      </c>
      <c r="I7" s="10" t="n">
        <v>1800000</v>
      </c>
    </row>
    <row r="8" ht="20" customHeight="1">
      <c r="A8" s="7" t="inlineStr">
        <is>
          <t>Industrial projects</t>
        </is>
      </c>
      <c r="B8" s="17" t="n">
        <v>0</v>
      </c>
      <c r="C8" s="17" t="n">
        <v>1</v>
      </c>
      <c r="D8" s="17" t="n">
        <v>1</v>
      </c>
      <c r="E8" s="17" t="n">
        <v>1</v>
      </c>
      <c r="F8" s="17" t="n">
        <v>2</v>
      </c>
      <c r="G8" s="17" t="n">
        <v>2</v>
      </c>
      <c r="H8" s="17" t="n">
        <v>2</v>
      </c>
      <c r="I8" s="17" t="n">
        <v>3</v>
      </c>
    </row>
    <row r="9" ht="20" customHeight="1">
      <c r="A9" s="9" t="inlineStr">
        <is>
          <t>Industrial avg value</t>
        </is>
      </c>
      <c r="B9" s="10" t="n">
        <v>3200000</v>
      </c>
      <c r="C9" s="10" t="n">
        <v>3200000</v>
      </c>
      <c r="D9" s="10" t="n">
        <v>3200000</v>
      </c>
      <c r="E9" s="10" t="n">
        <v>3200000</v>
      </c>
      <c r="F9" s="10" t="n">
        <v>3200000</v>
      </c>
      <c r="G9" s="10" t="n">
        <v>3200000</v>
      </c>
      <c r="H9" s="10" t="n">
        <v>3200000</v>
      </c>
      <c r="I9" s="10" t="n">
        <v>3200000</v>
      </c>
    </row>
    <row r="10" ht="20" customHeight="1">
      <c r="A10" s="11" t="inlineStr">
        <is>
          <t>Revenue</t>
        </is>
      </c>
      <c r="B10" s="12">
        <f>B4*B5+B6*B7+B8*B9</f>
        <v/>
      </c>
      <c r="C10" s="12">
        <f>C4*C5+C6*C7+C8*C9</f>
        <v/>
      </c>
      <c r="D10" s="12">
        <f>D4*D5+D6*D7+D8*D9</f>
        <v/>
      </c>
      <c r="E10" s="12">
        <f>E4*E5+E6*E7+E8*E9</f>
        <v/>
      </c>
      <c r="F10" s="12">
        <f>F4*F5+F6*F7+F8*F9</f>
        <v/>
      </c>
      <c r="G10" s="12">
        <f>G4*G5+G6*G7+G8*G9</f>
        <v/>
      </c>
      <c r="H10" s="12">
        <f>H4*H5+H6*H7+H8*H9</f>
        <v/>
      </c>
      <c r="I10" s="12">
        <f>I4*I5+I6*I7+I8*I9</f>
        <v/>
      </c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A4757"/>
    <outlinePr summaryBelow="1" summaryRight="1"/>
    <pageSetUpPr/>
  </sheetPr>
  <dimension ref="A1:I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 ht="34" customHeight="1">
      <c r="A1" s="1" t="inlineStr">
        <is>
          <t>Ironwood Construction Co.  -  Labour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42" customHeight="1">
      <c r="A2" s="3" t="inlineStr">
        <is>
          <t>Field crews and site supervision. Wage figures are fully-loaded cost per head per quarter, including burden.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3" ht="22" customHeight="1">
      <c r="A3" s="5" t="inlineStr">
        <is>
          <t>Quarter</t>
        </is>
      </c>
      <c r="B3" s="6" t="inlineStr">
        <is>
          <t>Q1 2026</t>
        </is>
      </c>
      <c r="C3" s="6" t="inlineStr">
        <is>
          <t>Q2 2026</t>
        </is>
      </c>
      <c r="D3" s="6" t="inlineStr">
        <is>
          <t>Q3 2026</t>
        </is>
      </c>
      <c r="E3" s="6" t="inlineStr">
        <is>
          <t>Q4 2026</t>
        </is>
      </c>
      <c r="F3" s="6" t="inlineStr">
        <is>
          <t>Q1 2027</t>
        </is>
      </c>
      <c r="G3" s="6" t="inlineStr">
        <is>
          <t>Q2 2027</t>
        </is>
      </c>
      <c r="H3" s="6" t="inlineStr">
        <is>
          <t>Q3 2027</t>
        </is>
      </c>
      <c r="I3" s="6" t="inlineStr">
        <is>
          <t>Q4 2027</t>
        </is>
      </c>
    </row>
    <row r="4" ht="20" customHeight="1">
      <c r="A4" s="7" t="inlineStr">
        <is>
          <t>Field crew headcount</t>
        </is>
      </c>
      <c r="B4" s="17" t="n">
        <v>38</v>
      </c>
      <c r="C4" s="17" t="n">
        <v>42</v>
      </c>
      <c r="D4" s="17" t="n">
        <v>46</v>
      </c>
      <c r="E4" s="17" t="n">
        <v>50</v>
      </c>
      <c r="F4" s="17" t="n">
        <v>56</v>
      </c>
      <c r="G4" s="17" t="n">
        <v>60</v>
      </c>
      <c r="H4" s="17" t="n">
        <v>66</v>
      </c>
      <c r="I4" s="17" t="n">
        <v>72</v>
      </c>
    </row>
    <row r="5" ht="20" customHeight="1">
      <c r="A5" s="9" t="inlineStr">
        <is>
          <t>Cost per crew / qtr</t>
        </is>
      </c>
      <c r="B5" s="10" t="n">
        <v>18500</v>
      </c>
      <c r="C5" s="10" t="n">
        <v>18500</v>
      </c>
      <c r="D5" s="10" t="n">
        <v>19000</v>
      </c>
      <c r="E5" s="10" t="n">
        <v>19000</v>
      </c>
      <c r="F5" s="10" t="n">
        <v>19600</v>
      </c>
      <c r="G5" s="10" t="n">
        <v>19600</v>
      </c>
      <c r="H5" s="10" t="n">
        <v>20200</v>
      </c>
      <c r="I5" s="10" t="n">
        <v>20200</v>
      </c>
    </row>
    <row r="6" ht="20" customHeight="1">
      <c r="A6" s="7" t="inlineStr">
        <is>
          <t>Site supervisors</t>
        </is>
      </c>
      <c r="B6" s="17" t="n">
        <v>6</v>
      </c>
      <c r="C6" s="17" t="n">
        <v>6</v>
      </c>
      <c r="D6" s="17" t="n">
        <v>7</v>
      </c>
      <c r="E6" s="17" t="n">
        <v>7</v>
      </c>
      <c r="F6" s="17" t="n">
        <v>8</v>
      </c>
      <c r="G6" s="17" t="n">
        <v>8</v>
      </c>
      <c r="H6" s="17" t="n">
        <v>9</v>
      </c>
      <c r="I6" s="17" t="n">
        <v>10</v>
      </c>
    </row>
    <row r="7" ht="20" customHeight="1">
      <c r="A7" s="9" t="inlineStr">
        <is>
          <t>Cost per supervisor / qtr</t>
        </is>
      </c>
      <c r="B7" s="10" t="n">
        <v>31000</v>
      </c>
      <c r="C7" s="10" t="n">
        <v>31000</v>
      </c>
      <c r="D7" s="10" t="n">
        <v>31000</v>
      </c>
      <c r="E7" s="10" t="n">
        <v>31000</v>
      </c>
      <c r="F7" s="10" t="n">
        <v>31000</v>
      </c>
      <c r="G7" s="10" t="n">
        <v>31000</v>
      </c>
      <c r="H7" s="10" t="n">
        <v>31000</v>
      </c>
      <c r="I7" s="10" t="n">
        <v>31000</v>
      </c>
    </row>
    <row r="8" ht="20" customHeight="1">
      <c r="A8" s="11" t="inlineStr">
        <is>
          <t>Total labour cost</t>
        </is>
      </c>
      <c r="B8" s="12">
        <f>B4*B5+B6*B7</f>
        <v/>
      </c>
      <c r="C8" s="12">
        <f>C4*C5+C6*C7</f>
        <v/>
      </c>
      <c r="D8" s="12">
        <f>D4*D5+D6*D7</f>
        <v/>
      </c>
      <c r="E8" s="12">
        <f>E4*E5+E6*E7</f>
        <v/>
      </c>
      <c r="F8" s="12">
        <f>F4*F5+F6*F7</f>
        <v/>
      </c>
      <c r="G8" s="12">
        <f>G4*G5+G6*G7</f>
        <v/>
      </c>
      <c r="H8" s="12">
        <f>H4*H5+H6*H7</f>
        <v/>
      </c>
      <c r="I8" s="12">
        <f>I4*I5+I6*I7</f>
        <v/>
      </c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A4757"/>
    <outlinePr summaryBelow="1" summaryRight="1"/>
    <pageSetUpPr/>
  </sheetPr>
  <dimension ref="A1:I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 ht="34" customHeight="1">
      <c r="A1" s="1" t="inlineStr">
        <is>
          <t>Ironwood Construction Co.  -  Equipment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42" customHeight="1">
      <c r="A2" s="3" t="inlineStr">
        <is>
          <t>Owned plant, short-term rentals and running costs for the fleet.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3" ht="22" customHeight="1">
      <c r="A3" s="5" t="inlineStr">
        <is>
          <t>Quarter</t>
        </is>
      </c>
      <c r="B3" s="6" t="inlineStr">
        <is>
          <t>Q1 2026</t>
        </is>
      </c>
      <c r="C3" s="6" t="inlineStr">
        <is>
          <t>Q2 2026</t>
        </is>
      </c>
      <c r="D3" s="6" t="inlineStr">
        <is>
          <t>Q3 2026</t>
        </is>
      </c>
      <c r="E3" s="6" t="inlineStr">
        <is>
          <t>Q4 2026</t>
        </is>
      </c>
      <c r="F3" s="6" t="inlineStr">
        <is>
          <t>Q1 2027</t>
        </is>
      </c>
      <c r="G3" s="6" t="inlineStr">
        <is>
          <t>Q2 2027</t>
        </is>
      </c>
      <c r="H3" s="6" t="inlineStr">
        <is>
          <t>Q3 2027</t>
        </is>
      </c>
      <c r="I3" s="6" t="inlineStr">
        <is>
          <t>Q4 2027</t>
        </is>
      </c>
    </row>
    <row r="4" ht="20" customHeight="1">
      <c r="A4" s="7" t="inlineStr">
        <is>
          <t>Owned fleet depreciation</t>
        </is>
      </c>
      <c r="B4" s="8" t="n">
        <v>95000</v>
      </c>
      <c r="C4" s="8" t="n">
        <v>95000</v>
      </c>
      <c r="D4" s="8" t="n">
        <v>110000</v>
      </c>
      <c r="E4" s="8" t="n">
        <v>110000</v>
      </c>
      <c r="F4" s="8" t="n">
        <v>128000</v>
      </c>
      <c r="G4" s="8" t="n">
        <v>128000</v>
      </c>
      <c r="H4" s="8" t="n">
        <v>128000</v>
      </c>
      <c r="I4" s="8" t="n">
        <v>140000</v>
      </c>
    </row>
    <row r="5" ht="20" customHeight="1">
      <c r="A5" s="9" t="inlineStr">
        <is>
          <t>Equipment rental</t>
        </is>
      </c>
      <c r="B5" s="10" t="n">
        <v>60000</v>
      </c>
      <c r="C5" s="10" t="n">
        <v>72000</v>
      </c>
      <c r="D5" s="10" t="n">
        <v>88000</v>
      </c>
      <c r="E5" s="10" t="n">
        <v>70000</v>
      </c>
      <c r="F5" s="10" t="n">
        <v>95000</v>
      </c>
      <c r="G5" s="10" t="n">
        <v>110000</v>
      </c>
      <c r="H5" s="10" t="n">
        <v>98000</v>
      </c>
      <c r="I5" s="10" t="n">
        <v>120000</v>
      </c>
    </row>
    <row r="6" ht="20" customHeight="1">
      <c r="A6" s="7" t="inlineStr">
        <is>
          <t>Fuel &amp; maintenance</t>
        </is>
      </c>
      <c r="B6" s="8" t="n">
        <v>41000</v>
      </c>
      <c r="C6" s="8" t="n">
        <v>46000</v>
      </c>
      <c r="D6" s="8" t="n">
        <v>52000</v>
      </c>
      <c r="E6" s="8" t="n">
        <v>55000</v>
      </c>
      <c r="F6" s="8" t="n">
        <v>63000</v>
      </c>
      <c r="G6" s="8" t="n">
        <v>68000</v>
      </c>
      <c r="H6" s="8" t="n">
        <v>74000</v>
      </c>
      <c r="I6" s="8" t="n">
        <v>82000</v>
      </c>
    </row>
    <row r="7" ht="20" customHeight="1">
      <c r="A7" s="11" t="inlineStr">
        <is>
          <t>Total equipment cost</t>
        </is>
      </c>
      <c r="B7" s="12">
        <f>SUM(B4:B6)</f>
        <v/>
      </c>
      <c r="C7" s="12">
        <f>SUM(C4:C6)</f>
        <v/>
      </c>
      <c r="D7" s="12">
        <f>SUM(D4:D6)</f>
        <v/>
      </c>
      <c r="E7" s="12">
        <f>SUM(E4:E6)</f>
        <v/>
      </c>
      <c r="F7" s="12">
        <f>SUM(F4:F6)</f>
        <v/>
      </c>
      <c r="G7" s="12">
        <f>SUM(G4:G6)</f>
        <v/>
      </c>
      <c r="H7" s="12">
        <f>SUM(H4:H6)</f>
        <v/>
      </c>
      <c r="I7" s="12">
        <f>SUM(I4:I6)</f>
        <v/>
      </c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3A4757"/>
    <outlinePr summaryBelow="1" summaryRight="1"/>
    <pageSetUpPr/>
  </sheetPr>
  <dimension ref="A1:I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 ht="34" customHeight="1">
      <c r="A1" s="1" t="inlineStr">
        <is>
          <t>Ironwood Construction Co.  -  Materials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42" customHeight="1">
      <c r="A2" s="3" t="inlineStr">
        <is>
          <t>Direct materials purchased for active residential and commercial jobs, before retentions.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3" ht="22" customHeight="1">
      <c r="A3" s="5" t="inlineStr">
        <is>
          <t>Quarter</t>
        </is>
      </c>
      <c r="B3" s="6" t="inlineStr">
        <is>
          <t>Q1 2026</t>
        </is>
      </c>
      <c r="C3" s="6" t="inlineStr">
        <is>
          <t>Q2 2026</t>
        </is>
      </c>
      <c r="D3" s="6" t="inlineStr">
        <is>
          <t>Q3 2026</t>
        </is>
      </c>
      <c r="E3" s="6" t="inlineStr">
        <is>
          <t>Q4 2026</t>
        </is>
      </c>
      <c r="F3" s="6" t="inlineStr">
        <is>
          <t>Q1 2027</t>
        </is>
      </c>
      <c r="G3" s="6" t="inlineStr">
        <is>
          <t>Q2 2027</t>
        </is>
      </c>
      <c r="H3" s="6" t="inlineStr">
        <is>
          <t>Q3 2027</t>
        </is>
      </c>
      <c r="I3" s="6" t="inlineStr">
        <is>
          <t>Q4 2027</t>
        </is>
      </c>
    </row>
    <row r="4" ht="20" customHeight="1">
      <c r="A4" s="7" t="inlineStr">
        <is>
          <t>Concrete &amp; aggregate</t>
        </is>
      </c>
      <c r="B4" s="8" t="n">
        <v>310000</v>
      </c>
      <c r="C4" s="8" t="n">
        <v>355000</v>
      </c>
      <c r="D4" s="8" t="n">
        <v>420000</v>
      </c>
      <c r="E4" s="8" t="n">
        <v>470000</v>
      </c>
      <c r="F4" s="8" t="n">
        <v>540000</v>
      </c>
      <c r="G4" s="8" t="n">
        <v>590000</v>
      </c>
      <c r="H4" s="8" t="n">
        <v>660000</v>
      </c>
      <c r="I4" s="8" t="n">
        <v>730000</v>
      </c>
    </row>
    <row r="5" ht="20" customHeight="1">
      <c r="A5" s="9" t="inlineStr">
        <is>
          <t>Steel &amp; rebar</t>
        </is>
      </c>
      <c r="B5" s="10" t="n">
        <v>180000</v>
      </c>
      <c r="C5" s="10" t="n">
        <v>205000</v>
      </c>
      <c r="D5" s="10" t="n">
        <v>250000</v>
      </c>
      <c r="E5" s="10" t="n">
        <v>280000</v>
      </c>
      <c r="F5" s="10" t="n">
        <v>330000</v>
      </c>
      <c r="G5" s="10" t="n">
        <v>360000</v>
      </c>
      <c r="H5" s="10" t="n">
        <v>410000</v>
      </c>
      <c r="I5" s="10" t="n">
        <v>460000</v>
      </c>
    </row>
    <row r="6" ht="20" customHeight="1">
      <c r="A6" s="7" t="inlineStr">
        <is>
          <t>Lumber &amp; framing</t>
        </is>
      </c>
      <c r="B6" s="8" t="n">
        <v>240000</v>
      </c>
      <c r="C6" s="8" t="n">
        <v>275000</v>
      </c>
      <c r="D6" s="8" t="n">
        <v>320000</v>
      </c>
      <c r="E6" s="8" t="n">
        <v>360000</v>
      </c>
      <c r="F6" s="8" t="n">
        <v>410000</v>
      </c>
      <c r="G6" s="8" t="n">
        <v>450000</v>
      </c>
      <c r="H6" s="8" t="n">
        <v>500000</v>
      </c>
      <c r="I6" s="8" t="n">
        <v>560000</v>
      </c>
    </row>
    <row r="7" ht="20" customHeight="1">
      <c r="A7" s="9" t="inlineStr">
        <is>
          <t>Finishes &amp; fixtures</t>
        </is>
      </c>
      <c r="B7" s="10" t="n">
        <v>160000</v>
      </c>
      <c r="C7" s="10" t="n">
        <v>185000</v>
      </c>
      <c r="D7" s="10" t="n">
        <v>215000</v>
      </c>
      <c r="E7" s="10" t="n">
        <v>245000</v>
      </c>
      <c r="F7" s="10" t="n">
        <v>285000</v>
      </c>
      <c r="G7" s="10" t="n">
        <v>315000</v>
      </c>
      <c r="H7" s="10" t="n">
        <v>355000</v>
      </c>
      <c r="I7" s="10" t="n">
        <v>400000</v>
      </c>
    </row>
    <row r="8" ht="20" customHeight="1">
      <c r="A8" s="11" t="inlineStr">
        <is>
          <t>Total materials cost</t>
        </is>
      </c>
      <c r="B8" s="12">
        <f>SUM(B4:B7)</f>
        <v/>
      </c>
      <c r="C8" s="12">
        <f>SUM(C4:C7)</f>
        <v/>
      </c>
      <c r="D8" s="12">
        <f>SUM(D4:D7)</f>
        <v/>
      </c>
      <c r="E8" s="12">
        <f>SUM(E4:E7)</f>
        <v/>
      </c>
      <c r="F8" s="12">
        <f>SUM(F4:F7)</f>
        <v/>
      </c>
      <c r="G8" s="12">
        <f>SUM(G4:G7)</f>
        <v/>
      </c>
      <c r="H8" s="12">
        <f>SUM(H4:H7)</f>
        <v/>
      </c>
      <c r="I8" s="12">
        <f>SUM(I4:I7)</f>
        <v/>
      </c>
    </row>
  </sheetData>
  <mergeCells count="2">
    <mergeCell ref="A1:I1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3A4757"/>
    <outlinePr summaryBelow="1" summaryRight="1"/>
    <pageSetUpPr/>
  </sheetPr>
  <dimension ref="A1:I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 ht="34" customHeight="1">
      <c r="A1" s="1" t="inlineStr">
        <is>
          <t>Ironwood Construction Co.  -  Overhead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42" customHeight="1">
      <c r="A2" s="3" t="inlineStr">
        <is>
          <t>Indirect costs: head-office staff, premises, insurance, bonding and the estimating team that prepares competitive bids.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3" ht="22" customHeight="1">
      <c r="A3" s="5" t="inlineStr">
        <is>
          <t>Quarter</t>
        </is>
      </c>
      <c r="B3" s="6" t="inlineStr">
        <is>
          <t>Q1 2026</t>
        </is>
      </c>
      <c r="C3" s="6" t="inlineStr">
        <is>
          <t>Q2 2026</t>
        </is>
      </c>
      <c r="D3" s="6" t="inlineStr">
        <is>
          <t>Q3 2026</t>
        </is>
      </c>
      <c r="E3" s="6" t="inlineStr">
        <is>
          <t>Q4 2026</t>
        </is>
      </c>
      <c r="F3" s="6" t="inlineStr">
        <is>
          <t>Q1 2027</t>
        </is>
      </c>
      <c r="G3" s="6" t="inlineStr">
        <is>
          <t>Q2 2027</t>
        </is>
      </c>
      <c r="H3" s="6" t="inlineStr">
        <is>
          <t>Q3 2027</t>
        </is>
      </c>
      <c r="I3" s="6" t="inlineStr">
        <is>
          <t>Q4 2027</t>
        </is>
      </c>
    </row>
    <row r="4" ht="20" customHeight="1">
      <c r="A4" s="7" t="inlineStr">
        <is>
          <t>Admin &amp; office headcount</t>
        </is>
      </c>
      <c r="B4" s="17" t="n">
        <v>9</v>
      </c>
      <c r="C4" s="17" t="n">
        <v>9</v>
      </c>
      <c r="D4" s="17" t="n">
        <v>10</v>
      </c>
      <c r="E4" s="17" t="n">
        <v>11</v>
      </c>
      <c r="F4" s="17" t="n">
        <v>12</v>
      </c>
      <c r="G4" s="17" t="n">
        <v>12</v>
      </c>
      <c r="H4" s="17" t="n">
        <v>13</v>
      </c>
      <c r="I4" s="17" t="n">
        <v>14</v>
      </c>
    </row>
    <row r="5" ht="20" customHeight="1">
      <c r="A5" s="9" t="inlineStr">
        <is>
          <t>Admin staff costs</t>
        </is>
      </c>
      <c r="B5" s="10">
        <f>B4*16500</f>
        <v/>
      </c>
      <c r="C5" s="10">
        <f>C4*16500</f>
        <v/>
      </c>
      <c r="D5" s="10">
        <f>D4*16500</f>
        <v/>
      </c>
      <c r="E5" s="10">
        <f>E4*16500</f>
        <v/>
      </c>
      <c r="F5" s="10">
        <f>F4*16500</f>
        <v/>
      </c>
      <c r="G5" s="10">
        <f>G4*16500</f>
        <v/>
      </c>
      <c r="H5" s="10">
        <f>H4*16500</f>
        <v/>
      </c>
      <c r="I5" s="10">
        <f>I4*16500</f>
        <v/>
      </c>
    </row>
    <row r="6" ht="20" customHeight="1">
      <c r="A6" s="7" t="inlineStr">
        <is>
          <t>Office, rent &amp; utilities</t>
        </is>
      </c>
      <c r="B6" s="8" t="n">
        <v>48000</v>
      </c>
      <c r="C6" s="8" t="n">
        <v>48000</v>
      </c>
      <c r="D6" s="8" t="n">
        <v>52000</v>
      </c>
      <c r="E6" s="8" t="n">
        <v>52000</v>
      </c>
      <c r="F6" s="8" t="n">
        <v>57000</v>
      </c>
      <c r="G6" s="8" t="n">
        <v>57000</v>
      </c>
      <c r="H6" s="8" t="n">
        <v>62000</v>
      </c>
      <c r="I6" s="8" t="n">
        <v>62000</v>
      </c>
    </row>
    <row r="7" ht="20" customHeight="1">
      <c r="A7" s="9" t="inlineStr">
        <is>
          <t>Insurance &amp; bonding</t>
        </is>
      </c>
      <c r="B7" s="10" t="n">
        <v>72000</v>
      </c>
      <c r="C7" s="10" t="n">
        <v>78000</v>
      </c>
      <c r="D7" s="10" t="n">
        <v>85000</v>
      </c>
      <c r="E7" s="10" t="n">
        <v>92000</v>
      </c>
      <c r="F7" s="10" t="n">
        <v>101000</v>
      </c>
      <c r="G7" s="10" t="n">
        <v>109000</v>
      </c>
      <c r="H7" s="10" t="n">
        <v>118000</v>
      </c>
      <c r="I7" s="10" t="n">
        <v>128000</v>
      </c>
    </row>
    <row r="8" ht="20" customHeight="1">
      <c r="A8" s="7" t="inlineStr">
        <is>
          <t>Marketing &amp; bid prep</t>
        </is>
      </c>
      <c r="B8" s="8" t="n">
        <v>35000</v>
      </c>
      <c r="C8" s="8" t="n">
        <v>40000</v>
      </c>
      <c r="D8" s="8" t="n">
        <v>38000</v>
      </c>
      <c r="E8" s="8" t="n">
        <v>44000</v>
      </c>
      <c r="F8" s="8" t="n">
        <v>42000</v>
      </c>
      <c r="G8" s="8" t="n">
        <v>48000</v>
      </c>
      <c r="H8" s="8" t="n">
        <v>46000</v>
      </c>
      <c r="I8" s="8" t="n">
        <v>52000</v>
      </c>
    </row>
    <row r="9" ht="20" customHeight="1">
      <c r="A9" s="11" t="inlineStr">
        <is>
          <t>Total overhead</t>
        </is>
      </c>
      <c r="B9" s="12">
        <f>B5+B6+B7+B8</f>
        <v/>
      </c>
      <c r="C9" s="12">
        <f>C5+C6+C7+C8</f>
        <v/>
      </c>
      <c r="D9" s="12">
        <f>D5+D6+D7+D8</f>
        <v/>
      </c>
      <c r="E9" s="12">
        <f>E5+E6+E7+E8</f>
        <v/>
      </c>
      <c r="F9" s="12">
        <f>F5+F6+F7+F8</f>
        <v/>
      </c>
      <c r="G9" s="12">
        <f>G5+G6+G7+G8</f>
        <v/>
      </c>
      <c r="H9" s="12">
        <f>H5+H6+H7+H8</f>
        <v/>
      </c>
      <c r="I9" s="12">
        <f>I5+I6+I7+I8</f>
        <v/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2026-05-21T07:04:07Z</dcterms:created>
  <dcterms:modified xsi:type="dcterms:W3CDTF">2026-05-21T07:04:07Z</dcterms:modified>
</cp:coreProperties>
</file>